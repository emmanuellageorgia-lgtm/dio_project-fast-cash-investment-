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7"/>
  <workbookPr defaultThemeVersion="166925"/>
  <xr:revisionPtr revIDLastSave="622" documentId="11_92485C45C1F39E42E268565A893E8C18510380CC" xr6:coauthVersionLast="47" xr6:coauthVersionMax="47" xr10:uidLastSave="{7C026A76-1A6D-C242-B09D-AB5ECBC5C4B1}"/>
  <bookViews>
    <workbookView xWindow="240" yWindow="105" windowWidth="14805" windowHeight="8010" xr2:uid="{00000000-000D-0000-FFFF-FFFF00000000}"/>
  </bookViews>
  <sheets>
    <sheet name="Fast Cash Investment -FAI" sheetId="1" r:id="rId1"/>
    <sheet name="Base para Fórmula" sheetId="2" r:id="rId2"/>
  </sheets>
  <definedNames>
    <definedName name="investimento_mensal">'Fast Cash Investment -FAI'!$D$9:$D$9</definedName>
    <definedName name="patrimonio_acumulado">'Fast Cash Investment -FAI'!$D$12:$D$12</definedName>
    <definedName name="qtd_anos">'Fast Cash Investment -FAI'!$D$10:$D$10</definedName>
    <definedName name="rendimento_carteira">'Fast Cash Investment -FAI'!$D$5:$D$5</definedName>
    <definedName name="rendimento_mensal">'Fast Cash Investment -FAI'!$D$11:$D$11</definedName>
    <definedName name="salario_">'Fast Cash Investment -FAI'!$D$4:$D$4</definedName>
    <definedName name="sugestao_investimento">'Fast Cash Investment -FAI'!$D$6:$D$6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C28" i="1"/>
  <c r="D25" i="1"/>
  <c r="D28" i="1"/>
  <c r="C29" i="1"/>
  <c r="D29" i="1"/>
  <c r="C30" i="1"/>
  <c r="D30" i="1"/>
  <c r="C31" i="1"/>
  <c r="D31" i="1"/>
  <c r="C32" i="1"/>
  <c r="D32" i="1"/>
  <c r="C33" i="1"/>
  <c r="D33" i="1"/>
  <c r="D34" i="1"/>
  <c r="D6" i="1"/>
  <c r="C17" i="1"/>
  <c r="D17" i="1"/>
  <c r="C18" i="1"/>
  <c r="D18" i="1"/>
  <c r="C19" i="1"/>
  <c r="D19" i="1"/>
  <c r="C20" i="1"/>
  <c r="D20" i="1"/>
  <c r="C21" i="1"/>
  <c r="D21" i="1"/>
  <c r="C16" i="1"/>
  <c r="D16" i="1"/>
  <c r="D12" i="1"/>
  <c r="D13" i="1"/>
</calcChain>
</file>

<file path=xl/sharedStrings.xml><?xml version="1.0" encoding="utf-8"?>
<sst xmlns="http://schemas.openxmlformats.org/spreadsheetml/2006/main" count="73" uniqueCount="39">
  <si>
    <t>Fast Cash Investiment</t>
  </si>
  <si>
    <t>Configurações</t>
  </si>
  <si>
    <t>Salário</t>
  </si>
  <si>
    <t>Rendimento da Carteira</t>
  </si>
  <si>
    <t>Investimento Mensal</t>
  </si>
  <si>
    <t>Quanto Investir por Mês ?</t>
  </si>
  <si>
    <t>Por quantos Anos?</t>
  </si>
  <si>
    <t>Taxa de Rendimento Mensal</t>
  </si>
  <si>
    <t>Patrimônio Acumulado</t>
  </si>
  <si>
    <t xml:space="preserve">Dividendos Mensais </t>
  </si>
  <si>
    <t>Cenários</t>
  </si>
  <si>
    <t>Dividendo</t>
  </si>
  <si>
    <t>Quanto em 2 anos ?</t>
  </si>
  <si>
    <t>Quanto em 5 anos ?</t>
  </si>
  <si>
    <t>Quanto em 10 anos ?</t>
  </si>
  <si>
    <t>Quanto em 15 anos ?</t>
  </si>
  <si>
    <t>Quanto em 20 anos ?</t>
  </si>
  <si>
    <t>Quanto em 30 anos ?</t>
  </si>
  <si>
    <t>PERFIL</t>
  </si>
  <si>
    <t>VALOR A SER INVESTIDO POR MÊS</t>
  </si>
  <si>
    <t>Conservador</t>
  </si>
  <si>
    <t>TIPO DE FII</t>
  </si>
  <si>
    <t>Percentual Sugerido</t>
  </si>
  <si>
    <t>Valores</t>
  </si>
  <si>
    <t>TIJOLO</t>
  </si>
  <si>
    <t>PAPEL</t>
  </si>
  <si>
    <t>FOFs</t>
  </si>
  <si>
    <t>DESENVOLVIMENTO</t>
  </si>
  <si>
    <t>Base de Apoio</t>
  </si>
  <si>
    <t>Perfil</t>
  </si>
  <si>
    <t>FII</t>
  </si>
  <si>
    <t>%</t>
  </si>
  <si>
    <t>Moderado</t>
  </si>
  <si>
    <t>Agressivo</t>
  </si>
  <si>
    <t>Chave</t>
  </si>
  <si>
    <t>TOTAL</t>
  </si>
  <si>
    <t>Sugestão de Investimento (30%)</t>
  </si>
  <si>
    <t>HOTELARIAS</t>
  </si>
  <si>
    <t xml:space="preserve">HÍBRIDO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</si>
</sst>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-416]\ #,##0.00"/>
    <numFmt numFmtId="166" formatCode="[$R$-416]\ #,##0.00;[Red][$R$-416]\ #,##0.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749992370372631"/>
        <bgColor indexed="64"/>
      </patternFill>
    </fill>
  </fills>
  <borders count="30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 style="medium">
        <color theme="4" tint="-0.499984740745262"/>
      </right>
      <top/>
      <bottom style="thin">
        <color theme="8" tint="0.79998168889431442"/>
      </bottom>
      <diagonal/>
    </border>
    <border>
      <left style="medium">
        <color theme="4" tint="-0.49998474074526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theme="4" tint="-0.499984740745262"/>
      </left>
      <right style="thin">
        <color theme="8" tint="0.79998168889431442"/>
      </right>
      <top style="thin">
        <color theme="8" tint="0.79998168889431442"/>
      </top>
      <bottom style="medium">
        <color theme="4" tint="-0.499984740745262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8" tint="0.7999816888943144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 style="thin">
        <color theme="8" tint="0.79998168889431442"/>
      </bottom>
      <diagonal/>
    </border>
    <border>
      <left style="medium">
        <color theme="4" tint="-0.49998474074526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theme="4" tint="-0.499984740745262"/>
      </left>
      <right/>
      <top style="thin">
        <color theme="8" tint="0.79998168889431442"/>
      </top>
      <bottom style="medium">
        <color theme="4" tint="-0.499984740745262"/>
      </bottom>
      <diagonal/>
    </border>
    <border>
      <left style="thin">
        <color theme="8" tint="0.79998168889431442"/>
      </left>
      <right style="medium">
        <color theme="4" tint="-0.49998474074526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 style="medium">
        <color theme="4" tint="-0.499984740745262"/>
      </right>
      <top style="thin">
        <color theme="8" tint="0.79998168889431442"/>
      </top>
      <bottom style="medium">
        <color theme="4" tint="-0.499984740745262"/>
      </bottom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medium">
        <color theme="4" tint="-0.499984740745262"/>
      </bottom>
      <diagonal/>
    </border>
    <border>
      <left/>
      <right/>
      <top/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/>
      <right style="thin">
        <color rgb="FF505050"/>
      </right>
      <top/>
      <bottom style="medium">
        <color rgb="FF505050"/>
      </bottom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1" fillId="0" borderId="0" xfId="0" applyFont="1"/>
    <xf numFmtId="166" fontId="3" fillId="4" borderId="9" xfId="0" applyNumberFormat="1" applyFont="1" applyFill="1" applyBorder="1" applyAlignment="1">
      <alignment horizontal="center"/>
    </xf>
    <xf numFmtId="166" fontId="3" fillId="4" borderId="6" xfId="0" applyNumberFormat="1" applyFont="1" applyFill="1" applyBorder="1" applyAlignment="1">
      <alignment horizontal="center"/>
    </xf>
    <xf numFmtId="166" fontId="3" fillId="4" borderId="10" xfId="0" applyNumberFormat="1" applyFont="1" applyFill="1" applyBorder="1" applyAlignment="1">
      <alignment horizontal="center"/>
    </xf>
    <xf numFmtId="166" fontId="3" fillId="4" borderId="11" xfId="0" applyNumberFormat="1" applyFont="1" applyFill="1" applyBorder="1" applyAlignment="1">
      <alignment horizontal="center"/>
    </xf>
    <xf numFmtId="166" fontId="3" fillId="4" borderId="13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0" fillId="0" borderId="0" xfId="0" applyBorder="1"/>
    <xf numFmtId="165" fontId="3" fillId="0" borderId="6" xfId="0" applyNumberFormat="1" applyFont="1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164" fontId="4" fillId="5" borderId="18" xfId="0" applyNumberFormat="1" applyFont="1" applyFill="1" applyBorder="1" applyAlignment="1">
      <alignment horizontal="center"/>
    </xf>
    <xf numFmtId="164" fontId="4" fillId="5" borderId="19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left" indent="3"/>
    </xf>
    <xf numFmtId="0" fontId="3" fillId="4" borderId="7" xfId="0" applyFont="1" applyFill="1" applyBorder="1" applyAlignment="1">
      <alignment horizontal="left" indent="3"/>
    </xf>
    <xf numFmtId="0" fontId="3" fillId="4" borderId="8" xfId="0" applyFont="1" applyFill="1" applyBorder="1" applyAlignment="1">
      <alignment horizontal="left" indent="3"/>
    </xf>
    <xf numFmtId="165" fontId="3" fillId="7" borderId="19" xfId="0" applyNumberFormat="1" applyFont="1" applyFill="1" applyBorder="1" applyAlignment="1">
      <alignment horizontal="center"/>
    </xf>
    <xf numFmtId="165" fontId="4" fillId="0" borderId="6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7" fillId="8" borderId="0" xfId="0" applyFont="1" applyFill="1"/>
    <xf numFmtId="0" fontId="7" fillId="8" borderId="0" xfId="0" applyFont="1" applyFill="1" applyAlignment="1">
      <alignment horizontal="center" vertical="center"/>
    </xf>
    <xf numFmtId="0" fontId="3" fillId="0" borderId="0" xfId="0" applyFont="1"/>
    <xf numFmtId="0" fontId="3" fillId="9" borderId="0" xfId="0" applyFont="1" applyFill="1"/>
    <xf numFmtId="165" fontId="3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0" xfId="0" applyFont="1"/>
    <xf numFmtId="9" fontId="3" fillId="0" borderId="0" xfId="0" applyNumberFormat="1" applyFont="1" applyAlignment="1">
      <alignment horizontal="center"/>
    </xf>
    <xf numFmtId="165" fontId="3" fillId="9" borderId="0" xfId="0" applyNumberFormat="1" applyFont="1" applyFill="1" applyAlignment="1">
      <alignment horizontal="center"/>
    </xf>
    <xf numFmtId="10" fontId="4" fillId="0" borderId="18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9" fontId="0" fillId="0" borderId="0" xfId="0" applyNumberFormat="1" applyBorder="1"/>
    <xf numFmtId="0" fontId="0" fillId="0" borderId="0" xfId="0" applyFont="1" applyBorder="1" applyAlignment="1">
      <alignment horizontal="left"/>
    </xf>
    <xf numFmtId="0" fontId="0" fillId="0" borderId="23" xfId="0" applyBorder="1"/>
    <xf numFmtId="0" fontId="0" fillId="0" borderId="23" xfId="0" applyFont="1" applyBorder="1" applyAlignment="1">
      <alignment horizontal="left"/>
    </xf>
    <xf numFmtId="9" fontId="0" fillId="0" borderId="23" xfId="0" applyNumberFormat="1" applyBorder="1"/>
    <xf numFmtId="0" fontId="0" fillId="0" borderId="0" xfId="0" applyFont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9" fontId="0" fillId="0" borderId="27" xfId="0" applyNumberFormat="1" applyBorder="1"/>
    <xf numFmtId="9" fontId="0" fillId="0" borderId="28" xfId="0" applyNumberFormat="1" applyBorder="1"/>
    <xf numFmtId="0" fontId="0" fillId="10" borderId="29" xfId="0" applyFill="1" applyBorder="1"/>
    <xf numFmtId="0" fontId="0" fillId="10" borderId="29" xfId="0" applyFont="1" applyFill="1" applyBorder="1"/>
    <xf numFmtId="0" fontId="0" fillId="10" borderId="24" xfId="0" applyFill="1" applyBorder="1"/>
    <xf numFmtId="0" fontId="0" fillId="10" borderId="25" xfId="0" applyFill="1" applyBorder="1"/>
    <xf numFmtId="0" fontId="0" fillId="10" borderId="25" xfId="0" applyFont="1" applyFill="1" applyBorder="1"/>
    <xf numFmtId="0" fontId="0" fillId="10" borderId="26" xfId="0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left" indent="3"/>
    </xf>
    <xf numFmtId="0" fontId="3" fillId="7" borderId="20" xfId="0" applyFont="1" applyFill="1" applyBorder="1" applyAlignment="1">
      <alignment horizontal="left" indent="3"/>
    </xf>
    <xf numFmtId="0" fontId="3" fillId="7" borderId="16" xfId="0" applyFont="1" applyFill="1" applyBorder="1" applyAlignment="1">
      <alignment horizontal="left" indent="3"/>
    </xf>
    <xf numFmtId="0" fontId="3" fillId="7" borderId="21" xfId="0" applyFont="1" applyFill="1" applyBorder="1" applyAlignment="1">
      <alignment horizontal="left" indent="3"/>
    </xf>
    <xf numFmtId="0" fontId="3" fillId="7" borderId="17" xfId="0" applyFont="1" applyFill="1" applyBorder="1" applyAlignment="1">
      <alignment horizontal="left" indent="3"/>
    </xf>
    <xf numFmtId="0" fontId="3" fillId="7" borderId="22" xfId="0" applyFont="1" applyFill="1" applyBorder="1" applyAlignment="1">
      <alignment horizontal="left" indent="3"/>
    </xf>
    <xf numFmtId="0" fontId="4" fillId="5" borderId="16" xfId="0" applyFont="1" applyFill="1" applyBorder="1" applyAlignment="1">
      <alignment horizontal="left" indent="3"/>
    </xf>
    <xf numFmtId="0" fontId="4" fillId="5" borderId="21" xfId="0" applyFont="1" applyFill="1" applyBorder="1" applyAlignment="1">
      <alignment horizontal="left" indent="3"/>
    </xf>
    <xf numFmtId="0" fontId="4" fillId="5" borderId="17" xfId="0" applyFont="1" applyFill="1" applyBorder="1" applyAlignment="1">
      <alignment horizontal="left" indent="3"/>
    </xf>
    <xf numFmtId="0" fontId="4" fillId="5" borderId="22" xfId="0" applyFont="1" applyFill="1" applyBorder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'Fast Cash Investment -FAI'!$C$27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12-4C9B-8A84-6BFAF5F87B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12-4C9B-8A84-6BFAF5F87B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12-4C9B-8A84-6BFAF5F87B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12-4C9B-8A84-6BFAF5F87B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12-4C9B-8A84-6BFAF5F87B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612-4C9B-8A84-6BFAF5F87B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'Fast Cash Investment -FAI'!$B$28:$B$33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HÍBRIDO 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'Fast Cash Investment -FAI'!$C$28:$C$33</c:f>
              <c:numCache>
                <c:formatCode>0%</c:formatCode>
                <c:ptCount val="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0.15</c:v>
                </c:pt>
                <c:pt idx="4">
                  <c:v>0.1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64A-C249-9666-F91CD3595668}"/>
            </c:ext>
          </c:extLst>
        </c:ser>
        <c:ser>
          <c:idx val="1"/>
          <c:order val="1"/>
          <c:tx>
            <c:strRef>
              <c:f>'Fast Cash Investment -FAI'!$D$27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612-4C9B-8A84-6BFAF5F87B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612-4C9B-8A84-6BFAF5F87B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612-4C9B-8A84-6BFAF5F87B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612-4C9B-8A84-6BFAF5F87B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612-4C9B-8A84-6BFAF5F87B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612-4C9B-8A84-6BFAF5F87B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'Fast Cash Investment -FAI'!$B$28:$B$33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HÍBRIDO 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'Fast Cash Investment -FAI'!$D$28:$D$33</c:f>
              <c:numCache>
                <c:formatCode>[$R$-416]\ #,##0.00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45</c:v>
                </c:pt>
                <c:pt idx="4">
                  <c:v>30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64A-C249-9666-F91CD359566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50799</xdr:colOff>
      <xdr:row>35</xdr:row>
      <xdr:rowOff>0</xdr:rowOff>
    </xdr:from>
    <xdr:to>
      <xdr:col>3</xdr:col>
      <xdr:colOff>1511905</xdr:colOff>
      <xdr:row>51</xdr:row>
      <xdr:rowOff>120954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8BF44523-9852-D357-A268-D52B663B9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showGridLines="0" tabSelected="1" topLeftCell="A22" workbookViewId="0">
      <selection activeCell="E28" sqref="E28"/>
    </sheetView>
  </sheetViews>
  <sheetFormatPr defaultRowHeight="15" x14ac:dyDescent="0.2"/>
  <cols>
    <col min="1" max="1" width="4.9765625" customWidth="1"/>
    <col min="2" max="2" width="43.046875" customWidth="1"/>
    <col min="3" max="3" width="27.3046875" customWidth="1"/>
    <col min="4" max="4" width="22.05859375" customWidth="1"/>
    <col min="5" max="5" width="16.8125" customWidth="1"/>
  </cols>
  <sheetData>
    <row r="1" spans="1:4" s="1" customFormat="1" ht="60.75" customHeight="1" x14ac:dyDescent="0.2">
      <c r="B1" s="2" t="s">
        <v>0</v>
      </c>
    </row>
    <row r="3" spans="1:4" ht="31.5" customHeight="1" x14ac:dyDescent="0.2">
      <c r="B3" s="50" t="s">
        <v>1</v>
      </c>
      <c r="C3" s="51"/>
      <c r="D3" s="52"/>
    </row>
    <row r="4" spans="1:4" ht="18.75" x14ac:dyDescent="0.25">
      <c r="B4" s="58" t="s">
        <v>2</v>
      </c>
      <c r="C4" s="59"/>
      <c r="D4" s="11">
        <v>1500</v>
      </c>
    </row>
    <row r="5" spans="1:4" ht="18.75" x14ac:dyDescent="0.25">
      <c r="B5" s="60" t="s">
        <v>3</v>
      </c>
      <c r="C5" s="61"/>
      <c r="D5" s="12">
        <v>0.01</v>
      </c>
    </row>
    <row r="6" spans="1:4" ht="19.5" thickBot="1" x14ac:dyDescent="0.3">
      <c r="B6" s="62" t="s">
        <v>36</v>
      </c>
      <c r="C6" s="63"/>
      <c r="D6" s="18">
        <f>D4*30%</f>
        <v>450</v>
      </c>
    </row>
    <row r="7" spans="1:4" ht="15.75" thickBot="1" x14ac:dyDescent="0.25">
      <c r="B7" s="10"/>
      <c r="C7" s="10"/>
      <c r="D7" s="10"/>
    </row>
    <row r="8" spans="1:4" ht="33" customHeight="1" x14ac:dyDescent="0.2">
      <c r="B8" s="53" t="s">
        <v>4</v>
      </c>
      <c r="C8" s="54"/>
      <c r="D8" s="55"/>
    </row>
    <row r="9" spans="1:4" ht="18.75" x14ac:dyDescent="0.25">
      <c r="B9" s="58" t="s">
        <v>5</v>
      </c>
      <c r="C9" s="59"/>
      <c r="D9" s="19">
        <v>300</v>
      </c>
    </row>
    <row r="10" spans="1:4" ht="18.75" x14ac:dyDescent="0.25">
      <c r="B10" s="60" t="s">
        <v>6</v>
      </c>
      <c r="C10" s="61"/>
      <c r="D10" s="20">
        <v>5</v>
      </c>
    </row>
    <row r="11" spans="1:4" ht="18.75" x14ac:dyDescent="0.25">
      <c r="B11" s="60" t="s">
        <v>7</v>
      </c>
      <c r="C11" s="61"/>
      <c r="D11" s="32">
        <v>8.0000000000000002E-3</v>
      </c>
    </row>
    <row r="12" spans="1:4" ht="18.75" x14ac:dyDescent="0.25">
      <c r="B12" s="64" t="s">
        <v>8</v>
      </c>
      <c r="C12" s="65"/>
      <c r="D12" s="13">
        <f>FV(D11,D10*12,D9*-1)</f>
        <v>22987.160049564067</v>
      </c>
    </row>
    <row r="13" spans="1:4" ht="19.5" thickBot="1" x14ac:dyDescent="0.3">
      <c r="B13" s="66" t="s">
        <v>9</v>
      </c>
      <c r="C13" s="67"/>
      <c r="D13" s="14">
        <f>D12*$D$5</f>
        <v>229.87160049564068</v>
      </c>
    </row>
    <row r="15" spans="1:4" ht="36" customHeight="1" thickBot="1" x14ac:dyDescent="0.25">
      <c r="B15" s="56" t="s">
        <v>10</v>
      </c>
      <c r="C15" s="57"/>
      <c r="D15" s="9" t="s">
        <v>11</v>
      </c>
    </row>
    <row r="16" spans="1:4" ht="18.75" x14ac:dyDescent="0.25">
      <c r="A16" s="3">
        <v>2</v>
      </c>
      <c r="B16" s="15" t="s">
        <v>12</v>
      </c>
      <c r="C16" s="4">
        <f>FV($D$11,$A16*12,$D$9*-1 )</f>
        <v>7902.9465333358694</v>
      </c>
      <c r="D16" s="5">
        <f>C16*$D$5</f>
        <v>79.029465333358701</v>
      </c>
    </row>
    <row r="17" spans="1:4" ht="18.75" x14ac:dyDescent="0.25">
      <c r="A17" s="3">
        <v>5</v>
      </c>
      <c r="B17" s="16" t="s">
        <v>13</v>
      </c>
      <c r="C17" s="6">
        <f>FV($D$11,$A17*12,$D$9*-1 )</f>
        <v>22987.160049564067</v>
      </c>
      <c r="D17" s="5">
        <f>C17*$D$5</f>
        <v>229.87160049564068</v>
      </c>
    </row>
    <row r="18" spans="1:4" ht="18.75" x14ac:dyDescent="0.25">
      <c r="A18" s="3">
        <v>10</v>
      </c>
      <c r="B18" s="16" t="s">
        <v>14</v>
      </c>
      <c r="C18" s="6">
        <f>FV($D$11,$A18*12,$D$9*-1 )</f>
        <v>60065.240822975436</v>
      </c>
      <c r="D18" s="5">
        <f>C18*$D$5</f>
        <v>600.65240822975443</v>
      </c>
    </row>
    <row r="19" spans="1:4" ht="18.75" x14ac:dyDescent="0.25">
      <c r="A19" s="3">
        <v>15</v>
      </c>
      <c r="B19" s="16" t="s">
        <v>15</v>
      </c>
      <c r="C19" s="6">
        <f>FV($D$11,$A19*12,$D$9*-1 )</f>
        <v>119871.84898489533</v>
      </c>
      <c r="D19" s="5">
        <f>C19*$D$5</f>
        <v>1198.7184898489534</v>
      </c>
    </row>
    <row r="20" spans="1:4" ht="18.75" x14ac:dyDescent="0.25">
      <c r="A20" s="3">
        <v>20</v>
      </c>
      <c r="B20" s="16" t="s">
        <v>16</v>
      </c>
      <c r="C20" s="6">
        <f>FV($D$11,$A20*12,$D$9*-1 )</f>
        <v>216339.36578253852</v>
      </c>
      <c r="D20" s="5">
        <f>C20*$D$5</f>
        <v>2163.3936578253852</v>
      </c>
    </row>
    <row r="21" spans="1:4" ht="19.5" thickBot="1" x14ac:dyDescent="0.3">
      <c r="A21" s="3">
        <v>30</v>
      </c>
      <c r="B21" s="17" t="s">
        <v>17</v>
      </c>
      <c r="C21" s="7">
        <f>FV($D$11,$A21*12,$D$9*-1 )</f>
        <v>622923.96941132552</v>
      </c>
      <c r="D21" s="8">
        <f>C21*$D$5</f>
        <v>6229.2396941132556</v>
      </c>
    </row>
    <row r="24" spans="1:4" ht="18.75" x14ac:dyDescent="0.25">
      <c r="B24" s="21" t="s">
        <v>18</v>
      </c>
      <c r="C24" s="21"/>
      <c r="D24" s="22" t="s">
        <v>33</v>
      </c>
    </row>
    <row r="25" spans="1:4" ht="18.75" x14ac:dyDescent="0.25">
      <c r="B25" s="24" t="s">
        <v>19</v>
      </c>
      <c r="C25" s="24"/>
      <c r="D25" s="25">
        <f>$D$9</f>
        <v>300</v>
      </c>
    </row>
    <row r="27" spans="1:4" ht="18.75" x14ac:dyDescent="0.25">
      <c r="B27" s="26" t="s">
        <v>21</v>
      </c>
      <c r="C27" s="26" t="s">
        <v>22</v>
      </c>
      <c r="D27" s="26" t="s">
        <v>23</v>
      </c>
    </row>
    <row r="28" spans="1:4" ht="18.75" x14ac:dyDescent="0.25">
      <c r="B28" s="27" t="s">
        <v>24</v>
      </c>
      <c r="C28" s="30">
        <f>VLOOKUP($D$24&amp;"-"&amp;$B28,'Base para Fórmula'!$A:$D,4,FALSE)</f>
        <v>0.2</v>
      </c>
      <c r="D28" s="28">
        <f>$D$25*C28</f>
        <v>60</v>
      </c>
    </row>
    <row r="29" spans="1:4" ht="18.75" x14ac:dyDescent="0.25">
      <c r="B29" s="27" t="s">
        <v>25</v>
      </c>
      <c r="C29" s="30">
        <f>VLOOKUP($D$24&amp;"-"&amp;$B29,'Base para Fórmula'!$A:$D,4,FALSE)</f>
        <v>0.2</v>
      </c>
      <c r="D29" s="28">
        <f>$D$25*C29</f>
        <v>60</v>
      </c>
    </row>
    <row r="30" spans="1:4" ht="18.75" x14ac:dyDescent="0.25">
      <c r="B30" s="27" t="s">
        <v>38</v>
      </c>
      <c r="C30" s="30">
        <f>VLOOKUP($D$24&amp;"-"&amp;$B30,'Base para Fórmula'!$A:$D,4,FALSE)</f>
        <v>0.2</v>
      </c>
      <c r="D30" s="28">
        <f>$D$25*C30</f>
        <v>60</v>
      </c>
    </row>
    <row r="31" spans="1:4" ht="18.75" x14ac:dyDescent="0.25">
      <c r="B31" s="27" t="s">
        <v>26</v>
      </c>
      <c r="C31" s="30">
        <f>VLOOKUP($D$24&amp;"-"&amp;$B31,'Base para Fórmula'!$A:$D,4,FALSE)</f>
        <v>0.15</v>
      </c>
      <c r="D31" s="28">
        <f>$D$25*C31</f>
        <v>45</v>
      </c>
    </row>
    <row r="32" spans="1:4" ht="18.75" x14ac:dyDescent="0.25">
      <c r="B32" s="27" t="s">
        <v>27</v>
      </c>
      <c r="C32" s="30">
        <f>VLOOKUP($D$24&amp;"-"&amp;$B32,'Base para Fórmula'!$A:$D,4,FALSE)</f>
        <v>0.1</v>
      </c>
      <c r="D32" s="28">
        <f>$D$25*C32</f>
        <v>30</v>
      </c>
    </row>
    <row r="33" spans="2:4" ht="18.75" x14ac:dyDescent="0.25">
      <c r="B33" s="27" t="s">
        <v>37</v>
      </c>
      <c r="C33" s="30">
        <f>VLOOKUP($D$24&amp;"-"&amp;$B33,'Base para Fórmula'!$A:$D,4,FALSE)</f>
        <v>0.15</v>
      </c>
      <c r="D33" s="28">
        <f>$D$25*C33</f>
        <v>45</v>
      </c>
    </row>
    <row r="34" spans="2:4" ht="18.75" customHeight="1" x14ac:dyDescent="0.25">
      <c r="B34" s="26" t="s">
        <v>35</v>
      </c>
      <c r="C34" s="26"/>
      <c r="D34" s="31">
        <f>SUM($D$28:$D$33)</f>
        <v>300</v>
      </c>
    </row>
    <row r="35" spans="2:4" ht="18.75" x14ac:dyDescent="0.25">
      <c r="B35" s="23"/>
      <c r="C35" s="23"/>
      <c r="D35" s="23"/>
    </row>
    <row r="36" spans="2:4" ht="18.75" x14ac:dyDescent="0.25">
      <c r="B36" s="23"/>
      <c r="C36" s="23"/>
      <c r="D36" s="23"/>
    </row>
    <row r="37" spans="2:4" ht="18.75" x14ac:dyDescent="0.25">
      <c r="B37" s="23"/>
      <c r="C37" s="23"/>
      <c r="D37" s="23"/>
    </row>
    <row r="38" spans="2:4" ht="18.75" x14ac:dyDescent="0.25">
      <c r="B38" s="23"/>
      <c r="C38" s="23"/>
      <c r="D38" s="23"/>
    </row>
    <row r="39" spans="2:4" ht="18.75" x14ac:dyDescent="0.25">
      <c r="B39" s="23"/>
      <c r="C39" s="23"/>
      <c r="D39" s="23"/>
    </row>
    <row r="40" spans="2:4" ht="18.75" x14ac:dyDescent="0.25">
      <c r="B40" s="23"/>
      <c r="C40" s="23"/>
      <c r="D40" s="23"/>
    </row>
  </sheetData>
  <mergeCells count="11">
    <mergeCell ref="B3:D3"/>
    <mergeCell ref="B8:D8"/>
    <mergeCell ref="B15:C15"/>
    <mergeCell ref="B4:C4"/>
    <mergeCell ref="B5:C5"/>
    <mergeCell ref="B6:C6"/>
    <mergeCell ref="B9:C9"/>
    <mergeCell ref="B10:C10"/>
    <mergeCell ref="B11:C11"/>
    <mergeCell ref="B12:C12"/>
    <mergeCell ref="B13:C13"/>
  </mergeCells>
  <dataValidations count="1">
    <dataValidation type="list" allowBlank="1" showInputMessage="1" showErrorMessage="1" sqref="D24" xr:uid="{906CC675-480C-446D-A52E-49390843DA96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D2F9-6DD0-4138-96B7-23B554B381B1}">
  <dimension ref="A1:K23"/>
  <sheetViews>
    <sheetView zoomScaleNormal="150" zoomScaleSheetLayoutView="100" workbookViewId="0">
      <selection activeCell="G6" sqref="G6"/>
    </sheetView>
  </sheetViews>
  <sheetFormatPr defaultRowHeight="15" x14ac:dyDescent="0.2"/>
  <cols>
    <col min="1" max="1" width="31.74609375" customWidth="1"/>
    <col min="2" max="2" width="12.64453125" customWidth="1"/>
    <col min="3" max="3" width="18.0234375" style="29" customWidth="1"/>
    <col min="4" max="4" width="12.23828125" customWidth="1"/>
  </cols>
  <sheetData>
    <row r="1" spans="1:5" x14ac:dyDescent="0.2">
      <c r="A1" s="44" t="s">
        <v>28</v>
      </c>
      <c r="B1" s="44"/>
      <c r="C1" s="45"/>
      <c r="D1" s="44"/>
    </row>
    <row r="3" spans="1:5" x14ac:dyDescent="0.2">
      <c r="A3" s="46" t="s">
        <v>34</v>
      </c>
      <c r="B3" s="47" t="s">
        <v>29</v>
      </c>
      <c r="C3" s="48" t="s">
        <v>30</v>
      </c>
      <c r="D3" s="49" t="s">
        <v>31</v>
      </c>
    </row>
    <row r="4" spans="1:5" x14ac:dyDescent="0.2">
      <c r="A4" s="10" t="str">
        <f>B4&amp;"-"&amp;C4</f>
        <v>Conservador-TIJOLO</v>
      </c>
      <c r="B4" s="10" t="s">
        <v>20</v>
      </c>
      <c r="C4" s="41" t="s">
        <v>24</v>
      </c>
      <c r="D4" s="42">
        <v>0.35</v>
      </c>
    </row>
    <row r="5" spans="1:5" x14ac:dyDescent="0.2">
      <c r="A5" s="10" t="str">
        <f t="shared" ref="A5:A21" si="0">B5&amp;"-"&amp;C5</f>
        <v>Conservador-PAPEL</v>
      </c>
      <c r="B5" s="10" t="s">
        <v>20</v>
      </c>
      <c r="C5" s="41" t="s">
        <v>25</v>
      </c>
      <c r="D5" s="42">
        <v>0.3</v>
      </c>
    </row>
    <row r="6" spans="1:5" x14ac:dyDescent="0.2">
      <c r="A6" s="10" t="str">
        <f t="shared" si="0"/>
        <v xml:space="preserve">Conservador-HÍBRIDO </v>
      </c>
      <c r="B6" s="10" t="s">
        <v>20</v>
      </c>
      <c r="C6" s="41" t="s">
        <v>38</v>
      </c>
      <c r="D6" s="42">
        <v>0.1</v>
      </c>
    </row>
    <row r="7" spans="1:5" x14ac:dyDescent="0.2">
      <c r="A7" s="10" t="str">
        <f t="shared" si="0"/>
        <v>Conservador-FOFs</v>
      </c>
      <c r="B7" s="10" t="s">
        <v>20</v>
      </c>
      <c r="C7" s="41" t="s">
        <v>26</v>
      </c>
      <c r="D7" s="42">
        <v>0.1</v>
      </c>
    </row>
    <row r="8" spans="1:5" x14ac:dyDescent="0.2">
      <c r="A8" s="10" t="str">
        <f t="shared" si="0"/>
        <v>Conservador-DESENVOLVIMENTO</v>
      </c>
      <c r="B8" s="10" t="s">
        <v>20</v>
      </c>
      <c r="C8" s="41" t="s">
        <v>27</v>
      </c>
      <c r="D8" s="42">
        <v>0.05</v>
      </c>
    </row>
    <row r="9" spans="1:5" ht="15.75" thickBot="1" x14ac:dyDescent="0.25">
      <c r="A9" s="36" t="str">
        <f t="shared" si="0"/>
        <v>Conservador-HOTELARIAS</v>
      </c>
      <c r="B9" s="36" t="s">
        <v>20</v>
      </c>
      <c r="C9" s="40" t="s">
        <v>37</v>
      </c>
      <c r="D9" s="43">
        <v>0.1</v>
      </c>
      <c r="E9" s="39"/>
    </row>
    <row r="10" spans="1:5" x14ac:dyDescent="0.2">
      <c r="A10" s="10" t="str">
        <f t="shared" si="0"/>
        <v>Moderado-TIJOLO</v>
      </c>
      <c r="B10" s="10" t="s">
        <v>32</v>
      </c>
      <c r="C10" s="41" t="s">
        <v>24</v>
      </c>
      <c r="D10" s="42">
        <v>0.3</v>
      </c>
    </row>
    <row r="11" spans="1:5" x14ac:dyDescent="0.2">
      <c r="A11" s="10" t="str">
        <f t="shared" si="0"/>
        <v>Moderado-PAPEL</v>
      </c>
      <c r="B11" s="10" t="s">
        <v>32</v>
      </c>
      <c r="C11" s="41" t="s">
        <v>25</v>
      </c>
      <c r="D11" s="42">
        <v>0.25</v>
      </c>
    </row>
    <row r="12" spans="1:5" x14ac:dyDescent="0.2">
      <c r="A12" s="10" t="str">
        <f t="shared" si="0"/>
        <v xml:space="preserve">Moderado-HÍBRIDO </v>
      </c>
      <c r="B12" s="10" t="s">
        <v>32</v>
      </c>
      <c r="C12" s="41" t="s">
        <v>38</v>
      </c>
      <c r="D12" s="42">
        <v>0.15</v>
      </c>
    </row>
    <row r="13" spans="1:5" x14ac:dyDescent="0.2">
      <c r="A13" s="10" t="str">
        <f t="shared" si="0"/>
        <v>Moderado-FOFs</v>
      </c>
      <c r="B13" s="10" t="s">
        <v>32</v>
      </c>
      <c r="C13" s="41" t="s">
        <v>26</v>
      </c>
      <c r="D13" s="42">
        <v>0.15</v>
      </c>
    </row>
    <row r="14" spans="1:5" x14ac:dyDescent="0.2">
      <c r="A14" s="10" t="str">
        <f t="shared" si="0"/>
        <v>Moderado-DESENVOLVIMENTO</v>
      </c>
      <c r="B14" s="10" t="s">
        <v>32</v>
      </c>
      <c r="C14" s="41" t="s">
        <v>27</v>
      </c>
      <c r="D14" s="42">
        <v>0.05</v>
      </c>
    </row>
    <row r="15" spans="1:5" ht="15.75" thickBot="1" x14ac:dyDescent="0.25">
      <c r="A15" s="36" t="str">
        <f t="shared" si="0"/>
        <v>Moderado-HOTELARIAS</v>
      </c>
      <c r="B15" s="36" t="s">
        <v>32</v>
      </c>
      <c r="C15" s="40" t="s">
        <v>37</v>
      </c>
      <c r="D15" s="43">
        <v>0.1</v>
      </c>
    </row>
    <row r="16" spans="1:5" x14ac:dyDescent="0.2">
      <c r="A16" s="10" t="str">
        <f t="shared" si="0"/>
        <v>Agressivo-TIJOLO</v>
      </c>
      <c r="B16" s="10" t="s">
        <v>33</v>
      </c>
      <c r="C16" s="41" t="s">
        <v>24</v>
      </c>
      <c r="D16" s="42">
        <v>0.2</v>
      </c>
    </row>
    <row r="17" spans="1:11" x14ac:dyDescent="0.2">
      <c r="A17" s="10" t="str">
        <f t="shared" si="0"/>
        <v>Agressivo-PAPEL</v>
      </c>
      <c r="B17" s="10" t="s">
        <v>33</v>
      </c>
      <c r="C17" s="41" t="s">
        <v>25</v>
      </c>
      <c r="D17" s="42">
        <v>0.2</v>
      </c>
    </row>
    <row r="18" spans="1:11" x14ac:dyDescent="0.2">
      <c r="A18" s="10" t="str">
        <f t="shared" si="0"/>
        <v xml:space="preserve">Agressivo-HÍBRIDO </v>
      </c>
      <c r="B18" s="10" t="s">
        <v>33</v>
      </c>
      <c r="C18" s="41" t="s">
        <v>38</v>
      </c>
      <c r="D18" s="42">
        <v>0.2</v>
      </c>
      <c r="H18" s="10"/>
      <c r="I18" s="10"/>
      <c r="J18" s="35"/>
      <c r="K18" s="34"/>
    </row>
    <row r="19" spans="1:11" x14ac:dyDescent="0.2">
      <c r="A19" s="10" t="str">
        <f t="shared" si="0"/>
        <v>Agressivo-FOFs</v>
      </c>
      <c r="B19" s="10" t="s">
        <v>33</v>
      </c>
      <c r="C19" s="41" t="s">
        <v>26</v>
      </c>
      <c r="D19" s="42">
        <v>0.15</v>
      </c>
      <c r="H19" s="10"/>
      <c r="I19" s="10"/>
      <c r="J19" s="35"/>
      <c r="K19" s="34"/>
    </row>
    <row r="20" spans="1:11" x14ac:dyDescent="0.2">
      <c r="A20" s="10" t="str">
        <f t="shared" si="0"/>
        <v>Agressivo-DESENVOLVIMENTO</v>
      </c>
      <c r="B20" s="10" t="s">
        <v>33</v>
      </c>
      <c r="C20" s="41" t="s">
        <v>27</v>
      </c>
      <c r="D20" s="42">
        <v>0.1</v>
      </c>
      <c r="H20" s="10"/>
      <c r="I20" s="10"/>
      <c r="J20" s="35"/>
      <c r="K20" s="34"/>
    </row>
    <row r="21" spans="1:11" ht="15.75" thickBot="1" x14ac:dyDescent="0.25">
      <c r="A21" s="36" t="str">
        <f t="shared" si="0"/>
        <v>Agressivo-HOTELARIAS</v>
      </c>
      <c r="B21" s="36" t="s">
        <v>33</v>
      </c>
      <c r="C21" s="40" t="s">
        <v>37</v>
      </c>
      <c r="D21" s="43">
        <v>0.15</v>
      </c>
      <c r="H21" s="10"/>
      <c r="I21" s="10"/>
      <c r="J21" s="35"/>
      <c r="K21" s="34"/>
    </row>
    <row r="22" spans="1:11" x14ac:dyDescent="0.2">
      <c r="H22" s="10"/>
      <c r="I22" s="10"/>
      <c r="J22" s="33"/>
      <c r="K22" s="34"/>
    </row>
    <row r="23" spans="1:11" ht="15.75" thickBot="1" x14ac:dyDescent="0.25">
      <c r="H23" s="36"/>
      <c r="I23" s="36"/>
      <c r="J23" s="37"/>
      <c r="K23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Fast Cash Investment -FAI</vt:lpstr>
      <vt:lpstr>Base para Fórmula</vt:lpstr>
      <vt:lpstr>investimento_mensal</vt:lpstr>
      <vt:lpstr>patrimonio_acumulado</vt:lpstr>
      <vt:lpstr>qtd_anos</vt:lpstr>
      <vt:lpstr>rendimento_carteira</vt:lpstr>
      <vt:lpstr>rendimento_mensal</vt:lpstr>
      <vt:lpstr>salario_</vt:lpstr>
      <vt:lpstr>sugestao_investimento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EMMANUELLA PEARL GEORGIA AMATEY WUDDAH</cp:lastModifiedBy>
  <cp:revision/>
  <dcterms:created xsi:type="dcterms:W3CDTF">2026-01-23T21:11:09Z</dcterms:created>
  <dcterms:modified xsi:type="dcterms:W3CDTF">2026-01-23T22:44:11Z</dcterms:modified>
  <cp:category/>
  <cp:contentStatus/>
</cp:coreProperties>
</file>